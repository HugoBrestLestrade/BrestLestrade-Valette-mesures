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LOC" sheetId="1" state="visible" r:id="rId1"/>
    <sheet name="CC" sheetId="2" state="visible" r:id="rId2"/>
    <sheet name="Halstead" sheetId="3" state="visible" r:id="rId3"/>
    <sheet name="UFC" sheetId="4" state="visible" r:id="rId4"/>
    <sheet name="UFC quicksort" sheetId="5" state="visible" r:id="rId5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5" fillId="0" borderId="0" pivotButton="0" quotePrefix="0" xfId="0"/>
    <xf numFmtId="0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14" activeCellId="0" sqref="F14"/>
    </sheetView>
  </sheetViews>
  <sheetFormatPr baseColWidth="8" defaultColWidth="11.53515625" defaultRowHeight="12.75" zeroHeight="0" outlineLevelRow="0"/>
  <sheetData>
    <row r="1" ht="12.75" customHeight="1" s="6">
      <c r="A1" s="7" t="n"/>
      <c r="B1" s="7" t="inlineStr">
        <is>
          <t>Lignes de code</t>
        </is>
      </c>
    </row>
    <row r="2" ht="12.75" customHeight="1" s="6">
      <c r="A2" s="7" t="inlineStr">
        <is>
          <t>Projet</t>
        </is>
      </c>
      <c r="B2" s="7" t="inlineStr">
        <is>
          <t>LOC</t>
        </is>
      </c>
    </row>
    <row r="3" ht="12.75" customHeight="1" s="6">
      <c r="A3" s="7" t="inlineStr">
        <is>
          <t>Projet Opti_tour</t>
        </is>
      </c>
      <c r="B3" s="7" t="n">
        <v>4140</v>
      </c>
    </row>
    <row r="4" ht="12.75" customHeight="1" s="6">
      <c r="A4" s="7" t="inlineStr">
        <is>
          <t>Projet REST</t>
        </is>
      </c>
      <c r="B4" s="7" t="n">
        <v>59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7" min="1" max="1"/>
  </cols>
  <sheetData>
    <row r="1" ht="15" customHeight="1" s="6">
      <c r="B1" s="7" t="inlineStr">
        <is>
          <t>Complexité cyclomatique</t>
        </is>
      </c>
    </row>
    <row r="2" ht="15" customHeight="1" s="6">
      <c r="A2" s="7" t="inlineStr">
        <is>
          <t>Fonction</t>
        </is>
      </c>
      <c r="B2" s="7" t="inlineStr">
        <is>
          <t>N</t>
        </is>
      </c>
      <c r="C2" s="7" t="inlineStr">
        <is>
          <t>E</t>
        </is>
      </c>
      <c r="D2" s="7" t="inlineStr">
        <is>
          <t>P</t>
        </is>
      </c>
      <c r="E2" s="7" t="inlineStr">
        <is>
          <t>CC</t>
        </is>
      </c>
      <c r="G2" s="7" t="inlineStr">
        <is>
          <t>Formule : CC = E - N + 2P</t>
        </is>
      </c>
    </row>
    <row r="3" ht="15" customHeight="1" s="6">
      <c r="A3" s="7" t="inlineStr">
        <is>
          <t>iqsort0</t>
        </is>
      </c>
      <c r="B3" s="7" t="n">
        <v>12</v>
      </c>
      <c r="C3" s="7" t="n">
        <v>14</v>
      </c>
      <c r="D3" s="7" t="n">
        <v>1</v>
      </c>
      <c r="E3" s="7">
        <f>C3-B3+2*D3</f>
        <v/>
      </c>
      <c r="G3" s="7" t="inlineStr">
        <is>
          <t>N = nombre de nœuds du CFG (instructions)</t>
        </is>
      </c>
    </row>
    <row r="4" ht="15" customHeight="1" s="6">
      <c r="G4" s="7" t="inlineStr">
        <is>
          <t>E = nombre d'arcs du CFG (passages possibles entre instructions)</t>
        </is>
      </c>
    </row>
    <row r="5" ht="15" customHeight="1" s="6">
      <c r="G5" s="7" t="inlineStr">
        <is>
          <t>P = nombre de fonctions distinctes dans le graphe</t>
        </is>
      </c>
    </row>
    <row r="6" ht="15" customHeight="1" s="6">
      <c r="G6" s="7" t="inlineStr">
        <is>
          <t>CC = nombre de chemins linéairement indépendants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6" activeCellId="0" sqref="D16"/>
    </sheetView>
  </sheetViews>
  <sheetFormatPr baseColWidth="8" defaultColWidth="8.6796875" defaultRowHeight="15" zeroHeight="0" outlineLevelRow="0"/>
  <cols>
    <col width="11" customWidth="1" style="7" min="1" max="1"/>
    <col width="11" customWidth="1" style="7" min="4" max="4"/>
  </cols>
  <sheetData>
    <row r="1" ht="15" customHeight="1" s="6">
      <c r="B1" s="7" t="inlineStr">
        <is>
          <t>Mesures de Halstead</t>
        </is>
      </c>
    </row>
    <row r="2" ht="15" customHeight="1" s="6">
      <c r="A2" s="7" t="inlineStr">
        <is>
          <t>Fonction</t>
        </is>
      </c>
      <c r="B2" s="7" t="inlineStr">
        <is>
          <t>nt</t>
        </is>
      </c>
      <c r="C2" s="7" t="inlineStr">
        <is>
          <t>nd</t>
        </is>
      </c>
      <c r="D2" s="7" t="inlineStr">
        <is>
          <t>Nt</t>
        </is>
      </c>
      <c r="E2" s="7" t="inlineStr">
        <is>
          <t>Nd</t>
        </is>
      </c>
      <c r="F2" s="7" t="inlineStr">
        <is>
          <t>N</t>
        </is>
      </c>
      <c r="G2" s="7" t="inlineStr">
        <is>
          <t>n</t>
        </is>
      </c>
      <c r="H2" s="7" t="inlineStr">
        <is>
          <t>V</t>
        </is>
      </c>
      <c r="I2" s="7" t="inlineStr">
        <is>
          <t>D</t>
        </is>
      </c>
      <c r="J2" s="7" t="inlineStr">
        <is>
          <t>E</t>
        </is>
      </c>
      <c r="L2" s="7" t="inlineStr">
        <is>
          <t>Formules :</t>
        </is>
      </c>
    </row>
    <row r="3" ht="15" customHeight="1" s="6">
      <c r="A3" s="7" t="inlineStr">
        <is>
          <t>iqsort0</t>
        </is>
      </c>
      <c r="B3" s="7">
        <f>COUNTA(A7:A23)</f>
        <v/>
      </c>
      <c r="C3" s="7">
        <f>COUNTA(D7:D14)</f>
        <v/>
      </c>
      <c r="D3" s="7">
        <f>SUM(B7:B23)</f>
        <v/>
      </c>
      <c r="E3" s="7">
        <f>SUM(E7:E14)</f>
        <v/>
      </c>
      <c r="F3" s="7">
        <f>D3+E3</f>
        <v/>
      </c>
      <c r="G3" s="7">
        <f>B3+C3</f>
        <v/>
      </c>
      <c r="H3" s="8">
        <f>F3*LOG(G3,2)</f>
        <v/>
      </c>
      <c r="I3" s="8">
        <f>(B3/2)*(E3/C3)</f>
        <v/>
      </c>
      <c r="J3" s="8">
        <f>I3*H3</f>
        <v/>
      </c>
      <c r="L3" s="7" t="inlineStr">
        <is>
          <t>N = Nt + Nd (longueur)</t>
        </is>
      </c>
    </row>
    <row r="4" ht="15" customHeight="1" s="6">
      <c r="L4" s="7" t="inlineStr">
        <is>
          <t>n = nt + nd (vocabulaire)</t>
        </is>
      </c>
    </row>
    <row r="5" ht="15" customHeight="1" s="6">
      <c r="L5" s="7" t="inlineStr">
        <is>
          <t>V = N * log2(n) (volume)</t>
        </is>
      </c>
    </row>
    <row r="6" ht="15" customHeight="1" s="6">
      <c r="A6" s="7" t="inlineStr">
        <is>
          <t>Opérateur</t>
        </is>
      </c>
      <c r="B6" s="7" t="inlineStr">
        <is>
          <t>Nb</t>
        </is>
      </c>
      <c r="D6" s="7" t="inlineStr">
        <is>
          <t>Opérande</t>
        </is>
      </c>
      <c r="E6" s="7" t="inlineStr">
        <is>
          <t>Nb</t>
        </is>
      </c>
      <c r="L6" s="7" t="inlineStr">
        <is>
          <t>D = (nt / 2) * (Nd / nd) (difficulté)</t>
        </is>
      </c>
    </row>
    <row r="7" ht="15" customHeight="1" s="6">
      <c r="A7" s="7" t="inlineStr">
        <is>
          <t>()</t>
        </is>
      </c>
      <c r="B7" s="7" t="n">
        <v>8</v>
      </c>
      <c r="D7" s="7" t="inlineStr">
        <is>
          <t>a</t>
        </is>
      </c>
      <c r="E7" s="7" t="n">
        <v>7</v>
      </c>
      <c r="L7" s="7" t="inlineStr">
        <is>
          <t>E = D * V (effort)</t>
        </is>
      </c>
    </row>
    <row r="8" ht="15" customHeight="1" s="6">
      <c r="A8" s="7" t="inlineStr">
        <is>
          <t>,</t>
        </is>
      </c>
      <c r="B8" s="7" t="n">
        <v>9</v>
      </c>
      <c r="D8" s="7" t="inlineStr">
        <is>
          <t>j</t>
        </is>
      </c>
      <c r="E8" s="7" t="n">
        <v>7</v>
      </c>
    </row>
    <row r="9" ht="15" customHeight="1" s="6">
      <c r="A9" s="7" t="inlineStr">
        <is>
          <t>;</t>
        </is>
      </c>
      <c r="B9" s="7" t="n">
        <v>8</v>
      </c>
      <c r="D9" s="7" t="inlineStr">
        <is>
          <t>i</t>
        </is>
      </c>
      <c r="E9" s="7" t="n">
        <v>6</v>
      </c>
      <c r="L9" s="7" t="inlineStr">
        <is>
          <t>nt = nb d'opérateurs distincts</t>
        </is>
      </c>
    </row>
    <row r="10" ht="15" customHeight="1" s="6">
      <c r="A10" s="7" t="inlineStr">
        <is>
          <t>int</t>
        </is>
      </c>
      <c r="B10" s="7" t="n">
        <v>3</v>
      </c>
      <c r="D10" s="7" t="inlineStr">
        <is>
          <t>n</t>
        </is>
      </c>
      <c r="E10" s="7" t="n">
        <v>4</v>
      </c>
      <c r="L10" s="7" t="inlineStr">
        <is>
          <t>Nt = nb total d'occurrences d'opérateurs</t>
        </is>
      </c>
    </row>
    <row r="11" ht="15" customHeight="1" s="6">
      <c r="A11" s="7" t="inlineStr">
        <is>
          <t>if</t>
        </is>
      </c>
      <c r="B11" s="7" t="n">
        <v>2</v>
      </c>
      <c r="D11" s="7" t="inlineStr">
        <is>
          <t>1</t>
        </is>
      </c>
      <c r="E11" s="7" t="n">
        <v>4</v>
      </c>
      <c r="L11" s="7" t="inlineStr">
        <is>
          <t>nd = nb d'opérandes distincts</t>
        </is>
      </c>
    </row>
    <row r="12" ht="15" customHeight="1" s="6">
      <c r="A12" s="7" t="inlineStr">
        <is>
          <t>=</t>
        </is>
      </c>
      <c r="B12" s="7" t="n">
        <v>2</v>
      </c>
      <c r="D12" s="7" t="inlineStr">
        <is>
          <t>iqsort0</t>
        </is>
      </c>
      <c r="E12" s="7" t="n">
        <v>3</v>
      </c>
      <c r="L12" s="7" t="inlineStr">
        <is>
          <t>Nd = nb total d'occurrences d'opérandes</t>
        </is>
      </c>
    </row>
    <row r="13" ht="15" customHeight="1" s="6">
      <c r="A13" s="7" t="inlineStr">
        <is>
          <t>&lt;</t>
        </is>
      </c>
      <c r="B13" s="7" t="n">
        <v>2</v>
      </c>
      <c r="D13" s="7" t="inlineStr">
        <is>
          <t>0</t>
        </is>
      </c>
      <c r="E13" s="7" t="n">
        <v>3</v>
      </c>
    </row>
    <row r="14" ht="15" customHeight="1" s="6">
      <c r="A14" s="7" t="inlineStr">
        <is>
          <t>++</t>
        </is>
      </c>
      <c r="B14" s="7" t="n">
        <v>2</v>
      </c>
      <c r="D14" s="7" t="inlineStr">
        <is>
          <t>swap</t>
        </is>
      </c>
      <c r="E14" s="7" t="n">
        <v>2</v>
      </c>
      <c r="L14" s="7" t="inlineStr">
        <is>
          <t>Conventions choisies :</t>
        </is>
      </c>
    </row>
    <row r="15" ht="15" customHeight="1" s="6">
      <c r="A15" s="7" t="inlineStr">
        <is>
          <t>[]</t>
        </is>
      </c>
      <c r="B15" s="7" t="n">
        <v>2</v>
      </c>
      <c r="L15" s="7" t="inlineStr">
        <is>
          <t>- une paire () [] {} compte comme 1 opérateur</t>
        </is>
      </c>
    </row>
    <row r="16" ht="15" customHeight="1" s="6">
      <c r="A16" s="7" t="inlineStr">
        <is>
          <t>+</t>
        </is>
      </c>
      <c r="B16" s="7" t="n">
        <v>2</v>
      </c>
      <c r="L16" s="7" t="inlineStr">
        <is>
          <t>- noms de fonctions (swap, iqsort0) = opérandes</t>
        </is>
      </c>
    </row>
    <row r="17" ht="15" customHeight="1" s="6">
      <c r="A17" s="7" t="inlineStr">
        <is>
          <t>-</t>
        </is>
      </c>
      <c r="B17" s="7" t="n">
        <v>2</v>
      </c>
      <c r="L17" s="7" t="inlineStr">
        <is>
          <t>- constantes (0, 1) = opérandes</t>
        </is>
      </c>
    </row>
    <row r="18" ht="15" customHeight="1" s="6">
      <c r="A18" s="7" t="inlineStr">
        <is>
          <t>void</t>
        </is>
      </c>
      <c r="B18" s="7" t="n">
        <v>1</v>
      </c>
      <c r="L18" s="7" t="inlineStr">
        <is>
          <t>- , et ; comptés comme opérateurs</t>
        </is>
      </c>
    </row>
    <row r="19" ht="15" customHeight="1" s="6">
      <c r="A19" s="7" t="inlineStr">
        <is>
          <t>*</t>
        </is>
      </c>
      <c r="B19" s="7" t="n">
        <v>1</v>
      </c>
    </row>
    <row r="20" ht="15" customHeight="1" s="6">
      <c r="A20" s="7" t="inlineStr">
        <is>
          <t>{}</t>
        </is>
      </c>
      <c r="B20" s="7" t="n">
        <v>1</v>
      </c>
    </row>
    <row r="21" ht="15" customHeight="1" s="6">
      <c r="A21" s="7" t="inlineStr">
        <is>
          <t>return</t>
        </is>
      </c>
      <c r="B21" s="7" t="n">
        <v>1</v>
      </c>
    </row>
    <row r="22" ht="15" customHeight="1" s="6">
      <c r="A22" s="7" t="inlineStr">
        <is>
          <t>for</t>
        </is>
      </c>
      <c r="B22" s="7" t="n">
        <v>1</v>
      </c>
    </row>
    <row r="23" ht="15" customHeight="1" s="6">
      <c r="A23" s="7" t="inlineStr">
        <is>
          <t>&lt;=</t>
        </is>
      </c>
      <c r="B23" s="7" t="n">
        <v>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3" activeCellId="0" sqref="B3"/>
    </sheetView>
  </sheetViews>
  <sheetFormatPr baseColWidth="8" defaultColWidth="11.53515625" defaultRowHeight="12.8" zeroHeight="0" outlineLevelRow="0"/>
  <cols>
    <col width="17.01" customWidth="1" style="7" min="1" max="1"/>
    <col width="14.79" customWidth="1" style="7" min="9" max="9"/>
  </cols>
  <sheetData>
    <row r="1" ht="12.8" customHeight="1" s="6">
      <c r="A1" s="7" t="n"/>
      <c r="C1" s="7" t="inlineStr">
        <is>
          <t>Poids</t>
        </is>
      </c>
      <c r="F1" s="7" t="inlineStr">
        <is>
          <t>Scores</t>
        </is>
      </c>
    </row>
    <row r="2" ht="12.8" customHeight="1" s="6">
      <c r="A2" s="7" t="inlineStr">
        <is>
          <t>Categorie</t>
        </is>
      </c>
      <c r="B2" s="7" t="inlineStr">
        <is>
          <t>Simple</t>
        </is>
      </c>
      <c r="C2" s="7" t="inlineStr">
        <is>
          <t>Moyen</t>
        </is>
      </c>
      <c r="D2" s="7" t="inlineStr">
        <is>
          <t>Difficile</t>
        </is>
      </c>
      <c r="E2" s="7" t="inlineStr">
        <is>
          <t>Simple</t>
        </is>
      </c>
      <c r="F2" s="7" t="inlineStr">
        <is>
          <t>Moyen</t>
        </is>
      </c>
      <c r="G2" s="7" t="inlineStr">
        <is>
          <t>Difficile</t>
        </is>
      </c>
      <c r="H2" s="7" t="inlineStr">
        <is>
          <t>Sous-total</t>
        </is>
      </c>
      <c r="I2" s="7" t="inlineStr">
        <is>
          <t>Score total UFC</t>
        </is>
      </c>
      <c r="K2" s="9" t="inlineStr">
        <is>
          <t>Formules :</t>
        </is>
      </c>
    </row>
    <row r="3" ht="12.8" customHeight="1" s="6">
      <c r="A3" s="7" t="inlineStr">
        <is>
          <t>Entrées Externes</t>
        </is>
      </c>
      <c r="B3" s="7" t="n">
        <v>3</v>
      </c>
      <c r="C3" s="7" t="n">
        <v>4</v>
      </c>
      <c r="D3" s="7" t="n">
        <v>6</v>
      </c>
      <c r="E3" s="7" t="n">
        <v>4</v>
      </c>
      <c r="F3" s="7" t="n">
        <v>3</v>
      </c>
      <c r="G3" s="7" t="n">
        <v>1</v>
      </c>
      <c r="H3" s="7">
        <f>(B3*E3)+(C3*F3)+(D3*G3)</f>
        <v/>
      </c>
      <c r="I3" s="7">
        <f>H3+H4+H5+H6+H7</f>
        <v/>
      </c>
      <c r="K3" s="9" t="inlineStr">
        <is>
          <t>Sous-total = Simple x nb + Moyen x nb + Difficile x nb</t>
        </is>
      </c>
    </row>
    <row r="4" ht="12.8" customHeight="1" s="6">
      <c r="A4" s="7" t="inlineStr">
        <is>
          <t>Sorties Externes</t>
        </is>
      </c>
      <c r="B4" s="7" t="n">
        <v>4</v>
      </c>
      <c r="C4" s="7" t="n">
        <v>5</v>
      </c>
      <c r="D4" s="7" t="n">
        <v>7</v>
      </c>
      <c r="E4" s="7" t="n">
        <v>0</v>
      </c>
      <c r="F4" s="7" t="n">
        <v>2</v>
      </c>
      <c r="G4" s="7" t="n">
        <v>1</v>
      </c>
      <c r="H4" s="7">
        <f>(B4*E4)+(C4*F4)+(D4*G4)</f>
        <v/>
      </c>
      <c r="K4" s="9" t="inlineStr">
        <is>
          <t>UFC = somme des 5 sous-totaux</t>
        </is>
      </c>
    </row>
    <row r="5" ht="12.8" customHeight="1" s="6">
      <c r="A5" s="7" t="inlineStr">
        <is>
          <t>Requêtes Externes</t>
        </is>
      </c>
      <c r="B5" s="7" t="n">
        <v>3</v>
      </c>
      <c r="C5" s="7" t="n">
        <v>4</v>
      </c>
      <c r="D5" s="7" t="n">
        <v>6</v>
      </c>
      <c r="E5" s="7" t="n">
        <v>7</v>
      </c>
      <c r="F5" s="7" t="n">
        <v>0</v>
      </c>
      <c r="G5" s="7" t="n">
        <v>0</v>
      </c>
      <c r="H5" s="7">
        <f>(B5*E5)+(C5*F5)+(D5*G5)</f>
        <v/>
      </c>
    </row>
    <row r="6" ht="12.8" customHeight="1" s="6">
      <c r="A6" s="7" t="inlineStr">
        <is>
          <t>Fichiers Internes</t>
        </is>
      </c>
      <c r="B6" s="7" t="n">
        <v>7</v>
      </c>
      <c r="C6" s="7" t="n">
        <v>10</v>
      </c>
      <c r="D6" s="7" t="n">
        <v>15</v>
      </c>
      <c r="E6" s="7" t="n">
        <v>3</v>
      </c>
      <c r="F6" s="7" t="n">
        <v>0</v>
      </c>
      <c r="G6" s="7" t="n">
        <v>0</v>
      </c>
      <c r="H6" s="7">
        <f>(B6*E6)+(C6*F6)+(D6*G6)</f>
        <v/>
      </c>
      <c r="K6" s="9" t="inlineStr">
        <is>
          <t>Poids = fixes (ne pas toucher), Scores = nb comptés</t>
        </is>
      </c>
    </row>
    <row r="7" ht="12.8" customHeight="1" s="6">
      <c r="A7" s="7" t="inlineStr">
        <is>
          <t>Fichiers Externes</t>
        </is>
      </c>
      <c r="B7" s="7" t="n">
        <v>5</v>
      </c>
      <c r="C7" s="7" t="n">
        <v>7</v>
      </c>
      <c r="D7" s="7" t="n">
        <v>10</v>
      </c>
      <c r="E7" s="7" t="n">
        <v>0</v>
      </c>
      <c r="F7" s="7" t="n">
        <v>5</v>
      </c>
      <c r="G7" s="7" t="n">
        <v>2</v>
      </c>
      <c r="H7" s="7">
        <f>(B7*E7)+(C7*F7)+(D7*G7)</f>
        <v/>
      </c>
    </row>
    <row r="8">
      <c r="K8" s="9" t="inlineStr">
        <is>
          <t>Catégories (cours, Albrecht) :</t>
        </is>
      </c>
    </row>
    <row r="9">
      <c r="K9" s="9" t="inlineStr">
        <is>
          <t>- Entrées ext. = données saisies par l'utilisateur</t>
        </is>
      </c>
    </row>
    <row r="10">
      <c r="K10" s="9" t="inlineStr">
        <is>
          <t>- Sorties ext. = résultats affichés à l'utilisateur (IHM)</t>
        </is>
      </c>
    </row>
    <row r="11">
      <c r="K11" s="9" t="inlineStr">
        <is>
          <t>- Requêtes ext. = entrées demandées à l'utilisateur (ex : boîte de dialogue)</t>
        </is>
      </c>
    </row>
    <row r="12">
      <c r="K12" s="9" t="inlineStr">
        <is>
          <t>- Fichiers internes = données stockées sur fichier par l'appli</t>
        </is>
      </c>
    </row>
    <row r="13">
      <c r="K13" s="9" t="inlineStr">
        <is>
          <t>- Fichiers externes = données via un mécanisme externe (ex : BD)</t>
        </is>
      </c>
    </row>
    <row r="15">
      <c r="K15" s="9" t="inlineStr">
        <is>
          <t>Méthode : lister les interactions -&gt; classer (catégorie + difficulté) -&gt; compter dans Scores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16" activeCellId="0" sqref="I16"/>
    </sheetView>
  </sheetViews>
  <sheetFormatPr baseColWidth="8" defaultColWidth="11.53515625" defaultRowHeight="12.8" zeroHeight="0" outlineLevelRow="0"/>
  <cols>
    <col width="17.01" customWidth="1" style="7" min="1" max="1"/>
  </cols>
  <sheetData>
    <row r="1" ht="12.8" customHeight="1" s="6">
      <c r="A1" s="7" t="n"/>
      <c r="C1" s="7" t="inlineStr">
        <is>
          <t>Poids</t>
        </is>
      </c>
      <c r="F1" s="7" t="inlineStr">
        <is>
          <t>Scores</t>
        </is>
      </c>
      <c r="I1" s="7" t="n"/>
    </row>
    <row r="2" ht="12.8" customHeight="1" s="6">
      <c r="A2" s="7" t="inlineStr">
        <is>
          <t>Categorie</t>
        </is>
      </c>
      <c r="B2" s="7" t="inlineStr">
        <is>
          <t>Simple</t>
        </is>
      </c>
      <c r="C2" s="7" t="inlineStr">
        <is>
          <t>Moyen</t>
        </is>
      </c>
      <c r="D2" s="7" t="inlineStr">
        <is>
          <t>Difficile</t>
        </is>
      </c>
      <c r="E2" s="7" t="inlineStr">
        <is>
          <t>Simple</t>
        </is>
      </c>
      <c r="F2" s="7" t="inlineStr">
        <is>
          <t>Moyen</t>
        </is>
      </c>
      <c r="G2" s="7" t="inlineStr">
        <is>
          <t>Difficile</t>
        </is>
      </c>
      <c r="H2" s="7" t="inlineStr">
        <is>
          <t>Sous-total</t>
        </is>
      </c>
      <c r="I2" s="7" t="inlineStr">
        <is>
          <t>Score total UFC</t>
        </is>
      </c>
      <c r="K2" s="9" t="inlineStr">
        <is>
          <t>Formules :</t>
        </is>
      </c>
    </row>
    <row r="3" ht="12.8" customHeight="1" s="6">
      <c r="A3" s="7" t="inlineStr">
        <is>
          <t>Entrées Externes</t>
        </is>
      </c>
      <c r="B3" s="7" t="n">
        <v>3</v>
      </c>
      <c r="C3" s="7" t="n">
        <v>4</v>
      </c>
      <c r="D3" s="7" t="n">
        <v>6</v>
      </c>
      <c r="E3" s="7" t="n">
        <v>2</v>
      </c>
      <c r="F3" s="10" t="n">
        <v>0</v>
      </c>
      <c r="G3" s="10" t="n">
        <v>0</v>
      </c>
      <c r="H3" s="7">
        <f>(B3*E3)+(C3*F3)+(D3*G3)</f>
        <v/>
      </c>
      <c r="I3" s="7">
        <f>H3+H4+H5+H6+H7</f>
        <v/>
      </c>
      <c r="K3" s="9" t="inlineStr">
        <is>
          <t>Sous-total = Simple x nb + Moyen x nb + Difficile x nb</t>
        </is>
      </c>
    </row>
    <row r="4" ht="12.8" customHeight="1" s="6">
      <c r="A4" s="7" t="inlineStr">
        <is>
          <t>Sorties Externes</t>
        </is>
      </c>
      <c r="B4" s="7" t="n">
        <v>4</v>
      </c>
      <c r="C4" s="7" t="n">
        <v>5</v>
      </c>
      <c r="D4" s="7" t="n">
        <v>7</v>
      </c>
      <c r="E4" s="7" t="n">
        <v>1</v>
      </c>
      <c r="F4" s="10" t="n">
        <v>0</v>
      </c>
      <c r="G4" s="10" t="n">
        <v>0</v>
      </c>
      <c r="H4" s="7">
        <f>(B4*E4)+(C4*F4)+(D4*G4)</f>
        <v/>
      </c>
      <c r="I4" s="7" t="n"/>
      <c r="K4" s="9" t="inlineStr">
        <is>
          <t>UFC = somme des 5 sous-totaux</t>
        </is>
      </c>
    </row>
    <row r="5" ht="12.8" customHeight="1" s="6">
      <c r="A5" s="7" t="inlineStr">
        <is>
          <t>Requêtes Externes</t>
        </is>
      </c>
      <c r="B5" s="7" t="n">
        <v>3</v>
      </c>
      <c r="C5" s="7" t="n">
        <v>4</v>
      </c>
      <c r="D5" s="7" t="n">
        <v>6</v>
      </c>
      <c r="E5" s="7" t="n">
        <v>1</v>
      </c>
      <c r="F5" s="10" t="n">
        <v>0</v>
      </c>
      <c r="G5" s="10" t="n">
        <v>0</v>
      </c>
      <c r="H5" s="7">
        <f>(B5*E5)+(C5*F5)+(D5*G5)</f>
        <v/>
      </c>
      <c r="I5" s="7" t="n"/>
    </row>
    <row r="6" ht="12.8" customHeight="1" s="6">
      <c r="A6" s="7" t="inlineStr">
        <is>
          <t>Fichiers Internes</t>
        </is>
      </c>
      <c r="B6" s="7" t="n">
        <v>7</v>
      </c>
      <c r="C6" s="7" t="n">
        <v>10</v>
      </c>
      <c r="D6" s="7" t="n">
        <v>15</v>
      </c>
      <c r="E6" s="10" t="n">
        <v>0</v>
      </c>
      <c r="F6" s="10" t="n">
        <v>0</v>
      </c>
      <c r="G6" s="10" t="n">
        <v>0</v>
      </c>
      <c r="H6" s="7">
        <f>(B6*E6)+(C6*F6)+(D6*G6)</f>
        <v/>
      </c>
      <c r="I6" s="7" t="n"/>
      <c r="K6" s="9" t="inlineStr">
        <is>
          <t>Poids = fixes (ne pas toucher), Scores = nb comptés</t>
        </is>
      </c>
    </row>
    <row r="7" ht="12.8" customHeight="1" s="6">
      <c r="A7" s="7" t="inlineStr">
        <is>
          <t>Fichiers Externes</t>
        </is>
      </c>
      <c r="B7" s="7" t="n">
        <v>5</v>
      </c>
      <c r="C7" s="7" t="n">
        <v>7</v>
      </c>
      <c r="D7" s="7" t="n">
        <v>10</v>
      </c>
      <c r="E7" s="10" t="n">
        <v>0</v>
      </c>
      <c r="F7" s="10" t="n">
        <v>0</v>
      </c>
      <c r="G7" s="10" t="n">
        <v>0</v>
      </c>
      <c r="H7" s="7">
        <f>(B7*E7)+(C7*F7)+(D7*G7)</f>
        <v/>
      </c>
      <c r="I7" s="7" t="n"/>
    </row>
    <row r="8" ht="12.8" customHeight="1" s="6">
      <c r="E8" s="10" t="n"/>
      <c r="K8" s="9" t="inlineStr">
        <is>
          <t>Catégories (cours, Albrecht) :</t>
        </is>
      </c>
    </row>
    <row r="9">
      <c r="K9" s="9" t="inlineStr">
        <is>
          <t>- Entrées ext. = données saisies par l'utilisateur</t>
        </is>
      </c>
    </row>
    <row r="10">
      <c r="K10" s="9" t="inlineStr">
        <is>
          <t>- Sorties ext. = résultats affichés à l'utilisateur (IHM)</t>
        </is>
      </c>
    </row>
    <row r="11">
      <c r="K11" s="9" t="inlineStr">
        <is>
          <t>- Requêtes ext. = entrées demandées à l'utilisateur (ex : boîte de dialogue)</t>
        </is>
      </c>
    </row>
    <row r="12">
      <c r="K12" s="9" t="inlineStr">
        <is>
          <t>- Fichiers internes = données stockées sur fichier par l'appli</t>
        </is>
      </c>
    </row>
    <row r="13">
      <c r="K13" s="9" t="inlineStr">
        <is>
          <t>- Fichiers externes = données via un mécanisme externe (ex : BD)</t>
        </is>
      </c>
    </row>
    <row r="15">
      <c r="K15" s="9" t="inlineStr">
        <is>
          <t>Méthode : lister les interactions -&gt; classer (catégorie + difficulté) -&gt; compter dans Scores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2026-09-28T14:22:42Z</dcterms:created>
  <dcterms:modified xsi:type="dcterms:W3CDTF">2026-10-08T12:05:45Z</dcterms:modified>
  <cp:revision>5</cp:revision>
</cp:coreProperties>
</file>