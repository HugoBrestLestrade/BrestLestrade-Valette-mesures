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OC" sheetId="1" state="visible" r:id="rId3"/>
    <sheet name="CC" sheetId="2" state="visible" r:id="rId4"/>
    <sheet name="Halstead" sheetId="3" state="visible" r:id="rId5"/>
    <sheet name="UFC" sheetId="4" state="visible" r:id="rId6"/>
    <sheet name="UFC quicksort" sheetId="5" state="visible" r:id="rId7"/>
    <sheet name="MI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<sst xmlns="http://schemas.openxmlformats.org/spreadsheetml/2006/main" count="145" uniqueCount="103">
  <si>
    <t xml:space="preserve">Lignes de code</t>
  </si>
  <si>
    <t xml:space="preserve">Projet</t>
  </si>
  <si>
    <t xml:space="preserve">LOC</t>
  </si>
  <si>
    <t xml:space="preserve">Projet Opti_tour</t>
  </si>
  <si>
    <t xml:space="preserve">Projet REST</t>
  </si>
  <si>
    <t xml:space="preserve">iqsort0 (exercice 2)</t>
  </si>
  <si>
    <t xml:space="preserve">lignes 1 à 12 du code de l'exercice 2</t>
  </si>
  <si>
    <t xml:space="preserve">Complexité cyclomatique</t>
  </si>
  <si>
    <t xml:space="preserve">Fonction</t>
  </si>
  <si>
    <t xml:space="preserve">N</t>
  </si>
  <si>
    <t xml:space="preserve">E</t>
  </si>
  <si>
    <t xml:space="preserve">P</t>
  </si>
  <si>
    <t xml:space="preserve">CC</t>
  </si>
  <si>
    <t xml:space="preserve">Formule : CC = E - N + 2P</t>
  </si>
  <si>
    <t xml:space="preserve">iqsort0</t>
  </si>
  <si>
    <t xml:space="preserve">N = nombre de nœuds du CFG (instructions)</t>
  </si>
  <si>
    <t xml:space="preserve">E = nombre d'arcs du CFG (passages possibles entre instructions)</t>
  </si>
  <si>
    <t xml:space="preserve">P = nombre de fonctions distinctes dans le graphe</t>
  </si>
  <si>
    <t xml:space="preserve">CC = nombre de chemins linéairement indépendants</t>
  </si>
  <si>
    <t xml:space="preserve">Mesures de Halstead</t>
  </si>
  <si>
    <t xml:space="preserve">nt</t>
  </si>
  <si>
    <t xml:space="preserve">nd</t>
  </si>
  <si>
    <t xml:space="preserve">Nt</t>
  </si>
  <si>
    <t xml:space="preserve">Nd</t>
  </si>
  <si>
    <t xml:space="preserve">n</t>
  </si>
  <si>
    <t xml:space="preserve">V</t>
  </si>
  <si>
    <t xml:space="preserve">D</t>
  </si>
  <si>
    <t xml:space="preserve">Formules :</t>
  </si>
  <si>
    <t xml:space="preserve">N = Nt + Nd (longueur)</t>
  </si>
  <si>
    <t xml:space="preserve">n = nt + nd (vocabulaire)</t>
  </si>
  <si>
    <t xml:space="preserve">V = N * log2(n) (volume)</t>
  </si>
  <si>
    <t xml:space="preserve">Opérateur</t>
  </si>
  <si>
    <t xml:space="preserve">Nb</t>
  </si>
  <si>
    <t xml:space="preserve">Opérande</t>
  </si>
  <si>
    <t xml:space="preserve">D = (nt / 2) * (Nd / nd) (difficulté)</t>
  </si>
  <si>
    <t xml:space="preserve">()</t>
  </si>
  <si>
    <t xml:space="preserve">a</t>
  </si>
  <si>
    <t xml:space="preserve">E = D * V (effort)</t>
  </si>
  <si>
    <t xml:space="preserve">,</t>
  </si>
  <si>
    <t xml:space="preserve">j</t>
  </si>
  <si>
    <t xml:space="preserve">;</t>
  </si>
  <si>
    <t xml:space="preserve">i</t>
  </si>
  <si>
    <t xml:space="preserve">nt = nb d'opérateurs distincts</t>
  </si>
  <si>
    <t xml:space="preserve">int</t>
  </si>
  <si>
    <t xml:space="preserve">Nt = nb total d'occurrences d'opérateurs</t>
  </si>
  <si>
    <t xml:space="preserve">if</t>
  </si>
  <si>
    <t xml:space="preserve">1</t>
  </si>
  <si>
    <t xml:space="preserve">nd = nb d'opérandes distincts</t>
  </si>
  <si>
    <t xml:space="preserve">=</t>
  </si>
  <si>
    <t xml:space="preserve">Nd = nb total d'occurrences d'opérandes</t>
  </si>
  <si>
    <t xml:space="preserve">&lt;</t>
  </si>
  <si>
    <t xml:space="preserve">0</t>
  </si>
  <si>
    <t xml:space="preserve">++</t>
  </si>
  <si>
    <t xml:space="preserve">swap</t>
  </si>
  <si>
    <t xml:space="preserve">Conventions choisies :</t>
  </si>
  <si>
    <t xml:space="preserve">[]</t>
  </si>
  <si>
    <t xml:space="preserve">- une paire () [] {} compte comme 1 opérateur</t>
  </si>
  <si>
    <t xml:space="preserve">+</t>
  </si>
  <si>
    <t xml:space="preserve">- noms de fonctions (swap, iqsort0) = opérandes</t>
  </si>
  <si>
    <t xml:space="preserve">-</t>
  </si>
  <si>
    <t xml:space="preserve">- constantes (0, 1) = opérandes</t>
  </si>
  <si>
    <t xml:space="preserve">void</t>
  </si>
  <si>
    <t xml:space="preserve">- , et ; comptés comme opérateurs</t>
  </si>
  <si>
    <t xml:space="preserve">*</t>
  </si>
  <si>
    <t xml:space="preserve">{}</t>
  </si>
  <si>
    <t xml:space="preserve">return</t>
  </si>
  <si>
    <t xml:space="preserve">for</t>
  </si>
  <si>
    <t xml:space="preserve">&lt;=</t>
  </si>
  <si>
    <t xml:space="preserve">Poids</t>
  </si>
  <si>
    <t xml:space="preserve">Scores</t>
  </si>
  <si>
    <t xml:space="preserve">Categorie</t>
  </si>
  <si>
    <t xml:space="preserve">Simple</t>
  </si>
  <si>
    <t xml:space="preserve">Moyen</t>
  </si>
  <si>
    <t xml:space="preserve">Difficile</t>
  </si>
  <si>
    <t xml:space="preserve">Sous-total</t>
  </si>
  <si>
    <t xml:space="preserve">Score total UFC</t>
  </si>
  <si>
    <t xml:space="preserve">Entrées Externes</t>
  </si>
  <si>
    <t xml:space="preserve">Sous-total = Simple x nb + Moyen x nb + Difficile x nb</t>
  </si>
  <si>
    <t xml:space="preserve">Sorties Externes</t>
  </si>
  <si>
    <t xml:space="preserve">UFC = somme des 5 sous-totaux</t>
  </si>
  <si>
    <t xml:space="preserve">Requêtes Externes</t>
  </si>
  <si>
    <t xml:space="preserve">Fichiers Internes</t>
  </si>
  <si>
    <t xml:space="preserve">Poids = fixes (ne pas toucher), Scores = nb comptés</t>
  </si>
  <si>
    <t xml:space="preserve">Fichiers Externes</t>
  </si>
  <si>
    <t xml:space="preserve">Catégories (cours, Albrecht) :</t>
  </si>
  <si>
    <t xml:space="preserve">- Entrées ext. = données saisies par l'utilisateur</t>
  </si>
  <si>
    <t xml:space="preserve">- Sorties ext. = résultats affichés à l'utilisateur (IHM)</t>
  </si>
  <si>
    <t xml:space="preserve">- Requêtes ext. = entrées demandées à l'utilisateur (ex : boîte de dialogue)</t>
  </si>
  <si>
    <t xml:space="preserve">- Fichiers internes = données stockées sur fichier par l'appli</t>
  </si>
  <si>
    <t xml:space="preserve">- Fichiers externes = données via un mécanisme externe (ex : BD)</t>
  </si>
  <si>
    <t xml:space="preserve">Méthode : lister les interactions -&gt; classer (catégorie + difficulté) -&gt; compter dans Scores</t>
  </si>
  <si>
    <t xml:space="preserve">Index de Maintenabilité</t>
  </si>
  <si>
    <t xml:space="preserve">HV</t>
  </si>
  <si>
    <t xml:space="preserve">MI</t>
  </si>
  <si>
    <t xml:space="preserve">Formule : MI = 171 - 5,2 x ln(HV) - 0,23 x CC - 16,2 x ln(LOC)</t>
  </si>
  <si>
    <t xml:space="preserve">HV = volume de Halstead (V) -&gt; repris de l'onglet Halstead (H3)</t>
  </si>
  <si>
    <t xml:space="preserve">CC = complexité cyclomatique -&gt; repris de l'onglet CC (E3)</t>
  </si>
  <si>
    <t xml:space="preserve">LOC = lignes de code de la fonction -&gt; repris de l'onglet LOC (B5)</t>
  </si>
  <si>
    <t xml:space="preserve">ln = logarithme népérien (LN dans le tableur)</t>
  </si>
  <si>
    <t xml:space="preserve">Lecture : plus MI est élevé, plus le code est maintenable (échelle ~ 0 à 100)</t>
  </si>
  <si>
    <t xml:space="preserve">Réutilisation :</t>
  </si>
  <si>
    <t xml:space="preserve">- B3:D3 se remplissent tout seuls depuis les autres onglets</t>
  </si>
  <si>
    <t xml:space="preserve">- autre fonction : remplir d'abord LOC, CC et Halstead, puis vérifier les références de B3:D3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</si>
</sst>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0" width="20"/>
  </cols>
  <sheetData>
    <row r="1" customFormat="false" ht="12.75" hidden="false" customHeight="true" outlineLevel="0" collapsed="false">
      <c r="A1" s="1"/>
      <c r="B1" s="1" t="s">
        <v>0</v>
      </c>
    </row>
    <row r="2" customFormat="false" ht="12.75" hidden="false" customHeight="true" outlineLevel="0" collapsed="false">
      <c r="A2" s="1" t="s">
        <v>1</v>
      </c>
      <c r="B2" s="1" t="s">
        <v>2</v>
      </c>
    </row>
    <row r="3" customFormat="false" ht="12.75" hidden="false" customHeight="true" outlineLevel="0" collapsed="false">
      <c r="A3" s="1" t="s">
        <v>3</v>
      </c>
      <c r="B3" s="1" t="n">
        <v>4140</v>
      </c>
    </row>
    <row r="4" customFormat="false" ht="12.75" hidden="false" customHeight="true" outlineLevel="0" collapsed="false">
      <c r="A4" s="1" t="s">
        <v>4</v>
      </c>
      <c r="B4" s="1" t="n">
        <v>59</v>
      </c>
    </row>
    <row r="5" customFormat="false" ht="12.75" hidden="false" customHeight="false" outlineLevel="0" collapsed="false">
      <c r="A5" s="2" t="s">
        <v>5</v>
      </c>
      <c r="B5" s="2" t="n">
        <v>12</v>
      </c>
      <c r="D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 &amp;A</oddHeader>
    <oddFooter>&amp;C&amp;"Times New Roman"&amp;12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true" outlineLevel="0" collapsed="false">
      <c r="B1" s="1" t="s">
        <v>7</v>
      </c>
    </row>
    <row r="2" customFormat="false" ht="15" hidden="false" customHeight="tru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</row>
    <row r="3" customFormat="false" ht="15" hidden="false" customHeight="true" outlineLevel="0" collapsed="false">
      <c r="A3" s="1" t="s">
        <v>14</v>
      </c>
      <c r="B3" s="1" t="n">
        <v>12</v>
      </c>
      <c r="C3" s="1" t="n">
        <v>14</v>
      </c>
      <c r="D3" s="1" t="n">
        <v>1</v>
      </c>
      <c r="E3" s="1" t="n">
        <f aca="false">C3-B3+2*D3</f>
        <v>4</v>
      </c>
      <c r="G3" s="1" t="s">
        <v>15</v>
      </c>
    </row>
    <row r="4" customFormat="false" ht="15" hidden="false" customHeight="true" outlineLevel="0" collapsed="false">
      <c r="G4" s="1" t="s">
        <v>16</v>
      </c>
    </row>
    <row r="5" customFormat="false" ht="15" hidden="false" customHeight="true" outlineLevel="0" collapsed="false">
      <c r="G5" s="1" t="s">
        <v>17</v>
      </c>
    </row>
    <row r="6" customFormat="false" ht="15" hidden="false" customHeight="true" outlineLevel="0" collapsed="false">
      <c r="G6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4" min="4" style="1" width="11"/>
  </cols>
  <sheetData>
    <row r="1" customFormat="false" ht="15" hidden="false" customHeight="true" outlineLevel="0" collapsed="false">
      <c r="B1" s="1" t="s">
        <v>19</v>
      </c>
    </row>
    <row r="2" customFormat="false" ht="15" hidden="false" customHeight="true" outlineLevel="0" collapsed="false">
      <c r="A2" s="1" t="s">
        <v>8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9</v>
      </c>
      <c r="G2" s="1" t="s">
        <v>24</v>
      </c>
      <c r="H2" s="1" t="s">
        <v>25</v>
      </c>
      <c r="I2" s="1" t="s">
        <v>26</v>
      </c>
      <c r="J2" s="1" t="s">
        <v>10</v>
      </c>
      <c r="L2" s="1" t="s">
        <v>27</v>
      </c>
    </row>
    <row r="3" customFormat="false" ht="15" hidden="false" customHeight="true" outlineLevel="0" collapsed="false">
      <c r="A3" s="1" t="s">
        <v>14</v>
      </c>
      <c r="B3" s="1" t="n">
        <f aca="false">COUNTA(A7:A23)</f>
        <v>17</v>
      </c>
      <c r="C3" s="1" t="n">
        <f aca="false">COUNTA(D7:D14)</f>
        <v>8</v>
      </c>
      <c r="D3" s="1" t="n">
        <f aca="false">SUM(B7:B23)</f>
        <v>48</v>
      </c>
      <c r="E3" s="1" t="n">
        <f aca="false">SUM(E7:E14)</f>
        <v>36</v>
      </c>
      <c r="F3" s="1" t="n">
        <f aca="false">D3+E3</f>
        <v>84</v>
      </c>
      <c r="G3" s="1" t="n">
        <f aca="false">B3+C3</f>
        <v>25</v>
      </c>
      <c r="H3" s="3" t="n">
        <f aca="false">F3*LOG(G3,2)</f>
        <v>390.083919941077</v>
      </c>
      <c r="I3" s="3" t="n">
        <f aca="false">(B3/2)*(E3/C3)</f>
        <v>38.25</v>
      </c>
      <c r="J3" s="3" t="n">
        <f aca="false">I3*H3</f>
        <v>14920.7099377462</v>
      </c>
      <c r="L3" s="1" t="s">
        <v>28</v>
      </c>
    </row>
    <row r="4" customFormat="false" ht="15" hidden="false" customHeight="true" outlineLevel="0" collapsed="false">
      <c r="L4" s="1" t="s">
        <v>29</v>
      </c>
    </row>
    <row r="5" customFormat="false" ht="15" hidden="false" customHeight="true" outlineLevel="0" collapsed="false">
      <c r="L5" s="1" t="s">
        <v>30</v>
      </c>
    </row>
    <row r="6" customFormat="false" ht="15" hidden="false" customHeight="true" outlineLevel="0" collapsed="false">
      <c r="A6" s="1" t="s">
        <v>31</v>
      </c>
      <c r="B6" s="1" t="s">
        <v>32</v>
      </c>
      <c r="D6" s="1" t="s">
        <v>33</v>
      </c>
      <c r="E6" s="1" t="s">
        <v>32</v>
      </c>
      <c r="L6" s="1" t="s">
        <v>34</v>
      </c>
    </row>
    <row r="7" customFormat="false" ht="15" hidden="false" customHeight="true" outlineLevel="0" collapsed="false">
      <c r="A7" s="1" t="s">
        <v>35</v>
      </c>
      <c r="B7" s="1" t="n">
        <v>8</v>
      </c>
      <c r="D7" s="1" t="s">
        <v>36</v>
      </c>
      <c r="E7" s="1" t="n">
        <v>7</v>
      </c>
      <c r="L7" s="1" t="s">
        <v>37</v>
      </c>
    </row>
    <row r="8" customFormat="false" ht="15" hidden="false" customHeight="true" outlineLevel="0" collapsed="false">
      <c r="A8" s="1" t="s">
        <v>38</v>
      </c>
      <c r="B8" s="1" t="n">
        <v>9</v>
      </c>
      <c r="D8" s="1" t="s">
        <v>39</v>
      </c>
      <c r="E8" s="1" t="n">
        <v>7</v>
      </c>
    </row>
    <row r="9" customFormat="false" ht="15" hidden="false" customHeight="true" outlineLevel="0" collapsed="false">
      <c r="A9" s="1" t="s">
        <v>40</v>
      </c>
      <c r="B9" s="1" t="n">
        <v>8</v>
      </c>
      <c r="D9" s="1" t="s">
        <v>41</v>
      </c>
      <c r="E9" s="1" t="n">
        <v>6</v>
      </c>
      <c r="L9" s="1" t="s">
        <v>42</v>
      </c>
    </row>
    <row r="10" customFormat="false" ht="15" hidden="false" customHeight="true" outlineLevel="0" collapsed="false">
      <c r="A10" s="1" t="s">
        <v>43</v>
      </c>
      <c r="B10" s="1" t="n">
        <v>3</v>
      </c>
      <c r="D10" s="1" t="s">
        <v>24</v>
      </c>
      <c r="E10" s="1" t="n">
        <v>4</v>
      </c>
      <c r="L10" s="1" t="s">
        <v>44</v>
      </c>
    </row>
    <row r="11" customFormat="false" ht="15" hidden="false" customHeight="true" outlineLevel="0" collapsed="false">
      <c r="A11" s="1" t="s">
        <v>45</v>
      </c>
      <c r="B11" s="1" t="n">
        <v>2</v>
      </c>
      <c r="D11" s="1" t="s">
        <v>46</v>
      </c>
      <c r="E11" s="1" t="n">
        <v>4</v>
      </c>
      <c r="L11" s="1" t="s">
        <v>47</v>
      </c>
    </row>
    <row r="12" customFormat="false" ht="15" hidden="false" customHeight="true" outlineLevel="0" collapsed="false">
      <c r="A12" s="1" t="s">
        <v>48</v>
      </c>
      <c r="B12" s="1" t="n">
        <v>2</v>
      </c>
      <c r="D12" s="1" t="s">
        <v>14</v>
      </c>
      <c r="E12" s="1" t="n">
        <v>3</v>
      </c>
      <c r="L12" s="1" t="s">
        <v>49</v>
      </c>
    </row>
    <row r="13" customFormat="false" ht="15" hidden="false" customHeight="true" outlineLevel="0" collapsed="false">
      <c r="A13" s="1" t="s">
        <v>50</v>
      </c>
      <c r="B13" s="1" t="n">
        <v>2</v>
      </c>
      <c r="D13" s="1" t="s">
        <v>51</v>
      </c>
      <c r="E13" s="1" t="n">
        <v>3</v>
      </c>
    </row>
    <row r="14" customFormat="false" ht="15" hidden="false" customHeight="true" outlineLevel="0" collapsed="false">
      <c r="A14" s="1" t="s">
        <v>52</v>
      </c>
      <c r="B14" s="1" t="n">
        <v>2</v>
      </c>
      <c r="D14" s="1" t="s">
        <v>53</v>
      </c>
      <c r="E14" s="1" t="n">
        <v>2</v>
      </c>
      <c r="L14" s="1" t="s">
        <v>54</v>
      </c>
    </row>
    <row r="15" customFormat="false" ht="15" hidden="false" customHeight="true" outlineLevel="0" collapsed="false">
      <c r="A15" s="1" t="s">
        <v>55</v>
      </c>
      <c r="B15" s="1" t="n">
        <v>2</v>
      </c>
      <c r="L15" s="1" t="s">
        <v>56</v>
      </c>
    </row>
    <row r="16" customFormat="false" ht="15" hidden="false" customHeight="true" outlineLevel="0" collapsed="false">
      <c r="A16" s="1" t="s">
        <v>57</v>
      </c>
      <c r="B16" s="1" t="n">
        <v>2</v>
      </c>
      <c r="L16" s="1" t="s">
        <v>58</v>
      </c>
    </row>
    <row r="17" customFormat="false" ht="15" hidden="false" customHeight="true" outlineLevel="0" collapsed="false">
      <c r="A17" s="1" t="s">
        <v>59</v>
      </c>
      <c r="B17" s="1" t="n">
        <v>2</v>
      </c>
      <c r="L17" s="1" t="s">
        <v>60</v>
      </c>
    </row>
    <row r="18" customFormat="false" ht="15" hidden="false" customHeight="true" outlineLevel="0" collapsed="false">
      <c r="A18" s="1" t="s">
        <v>61</v>
      </c>
      <c r="B18" s="1" t="n">
        <v>1</v>
      </c>
      <c r="L18" s="1" t="s">
        <v>62</v>
      </c>
    </row>
    <row r="19" customFormat="false" ht="15" hidden="false" customHeight="true" outlineLevel="0" collapsed="false">
      <c r="A19" s="1" t="s">
        <v>63</v>
      </c>
      <c r="B19" s="1" t="n">
        <v>1</v>
      </c>
    </row>
    <row r="20" customFormat="false" ht="15" hidden="false" customHeight="true" outlineLevel="0" collapsed="false">
      <c r="A20" s="1" t="s">
        <v>64</v>
      </c>
      <c r="B20" s="1" t="n">
        <v>1</v>
      </c>
    </row>
    <row r="21" customFormat="false" ht="15" hidden="false" customHeight="true" outlineLevel="0" collapsed="false">
      <c r="A21" s="1" t="s">
        <v>65</v>
      </c>
      <c r="B21" s="1" t="n">
        <v>1</v>
      </c>
    </row>
    <row r="22" customFormat="false" ht="15" hidden="false" customHeight="true" outlineLevel="0" collapsed="false">
      <c r="A22" s="1" t="s">
        <v>66</v>
      </c>
      <c r="B22" s="1" t="n">
        <v>1</v>
      </c>
    </row>
    <row r="23" customFormat="false" ht="15" hidden="false" customHeight="true" outlineLevel="0" collapsed="false">
      <c r="A23" s="1" t="s">
        <v>67</v>
      </c>
      <c r="B2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7.01"/>
    <col collapsed="false" customWidth="true" hidden="false" outlineLevel="0" max="9" min="9" style="1" width="14.79"/>
  </cols>
  <sheetData>
    <row r="1" customFormat="false" ht="12.75" hidden="false" customHeight="true" outlineLevel="0" collapsed="false">
      <c r="C1" s="1" t="s">
        <v>68</v>
      </c>
      <c r="F1" s="1" t="s">
        <v>69</v>
      </c>
    </row>
    <row r="2" customFormat="false" ht="12.75" hidden="false" customHeight="true" outlineLevel="0" collapsed="false">
      <c r="A2" s="1" t="s">
        <v>70</v>
      </c>
      <c r="B2" s="1" t="s">
        <v>71</v>
      </c>
      <c r="C2" s="1" t="s">
        <v>72</v>
      </c>
      <c r="D2" s="1" t="s">
        <v>73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K2" s="2" t="s">
        <v>27</v>
      </c>
    </row>
    <row r="3" customFormat="false" ht="12.75" hidden="false" customHeight="true" outlineLevel="0" collapsed="false">
      <c r="A3" s="1" t="s">
        <v>76</v>
      </c>
      <c r="B3" s="1" t="n">
        <v>3</v>
      </c>
      <c r="C3" s="1" t="n">
        <v>4</v>
      </c>
      <c r="D3" s="1" t="n">
        <v>6</v>
      </c>
      <c r="E3" s="1" t="n">
        <v>4</v>
      </c>
      <c r="F3" s="1" t="n">
        <v>3</v>
      </c>
      <c r="G3" s="1" t="n">
        <v>1</v>
      </c>
      <c r="H3" s="1" t="n">
        <f aca="false">(B3*E3)+(C3*F3)+(D3*G3)</f>
        <v>30</v>
      </c>
      <c r="I3" s="1" t="n">
        <f aca="false">H3+H4+H5+H6+H7</f>
        <v>144</v>
      </c>
      <c r="K3" s="2" t="s">
        <v>77</v>
      </c>
    </row>
    <row r="4" customFormat="false" ht="12.75" hidden="false" customHeight="true" outlineLevel="0" collapsed="false">
      <c r="A4" s="1" t="s">
        <v>78</v>
      </c>
      <c r="B4" s="1" t="n">
        <v>4</v>
      </c>
      <c r="C4" s="1" t="n">
        <v>5</v>
      </c>
      <c r="D4" s="1" t="n">
        <v>7</v>
      </c>
      <c r="E4" s="1" t="n">
        <v>0</v>
      </c>
      <c r="F4" s="1" t="n">
        <v>2</v>
      </c>
      <c r="G4" s="1" t="n">
        <v>1</v>
      </c>
      <c r="H4" s="1" t="n">
        <f aca="false">(B4*E4)+(C4*F4)+(D4*G4)</f>
        <v>17</v>
      </c>
      <c r="K4" s="2" t="s">
        <v>79</v>
      </c>
    </row>
    <row r="5" customFormat="false" ht="12.75" hidden="false" customHeight="true" outlineLevel="0" collapsed="false">
      <c r="A5" s="1" t="s">
        <v>80</v>
      </c>
      <c r="B5" s="1" t="n">
        <v>3</v>
      </c>
      <c r="C5" s="1" t="n">
        <v>4</v>
      </c>
      <c r="D5" s="1" t="n">
        <v>6</v>
      </c>
      <c r="E5" s="1" t="n">
        <v>7</v>
      </c>
      <c r="F5" s="1" t="n">
        <v>0</v>
      </c>
      <c r="G5" s="1" t="n">
        <v>0</v>
      </c>
      <c r="H5" s="1" t="n">
        <f aca="false">(B5*E5)+(C5*F5)+(D5*G5)</f>
        <v>21</v>
      </c>
    </row>
    <row r="6" customFormat="false" ht="12.75" hidden="false" customHeight="true" outlineLevel="0" collapsed="false">
      <c r="A6" s="1" t="s">
        <v>81</v>
      </c>
      <c r="B6" s="1" t="n">
        <v>7</v>
      </c>
      <c r="C6" s="1" t="n">
        <v>10</v>
      </c>
      <c r="D6" s="1" t="n">
        <v>15</v>
      </c>
      <c r="E6" s="1" t="n">
        <v>3</v>
      </c>
      <c r="F6" s="1" t="n">
        <v>0</v>
      </c>
      <c r="G6" s="1" t="n">
        <v>0</v>
      </c>
      <c r="H6" s="1" t="n">
        <f aca="false">(B6*E6)+(C6*F6)+(D6*G6)</f>
        <v>21</v>
      </c>
      <c r="K6" s="2" t="s">
        <v>82</v>
      </c>
    </row>
    <row r="7" customFormat="false" ht="12.75" hidden="false" customHeight="true" outlineLevel="0" collapsed="false">
      <c r="A7" s="1" t="s">
        <v>83</v>
      </c>
      <c r="B7" s="1" t="n">
        <v>5</v>
      </c>
      <c r="C7" s="1" t="n">
        <v>7</v>
      </c>
      <c r="D7" s="1" t="n">
        <v>10</v>
      </c>
      <c r="E7" s="1" t="n">
        <v>0</v>
      </c>
      <c r="F7" s="1" t="n">
        <v>5</v>
      </c>
      <c r="G7" s="1" t="n">
        <v>2</v>
      </c>
      <c r="H7" s="1" t="n">
        <f aca="false">(B7*E7)+(C7*F7)+(D7*G7)</f>
        <v>55</v>
      </c>
    </row>
    <row r="8" customFormat="false" ht="12.75" hidden="false" customHeight="false" outlineLevel="0" collapsed="false">
      <c r="K8" s="2" t="s">
        <v>84</v>
      </c>
    </row>
    <row r="9" customFormat="false" ht="12.75" hidden="false" customHeight="false" outlineLevel="0" collapsed="false">
      <c r="K9" s="2" t="s">
        <v>85</v>
      </c>
    </row>
    <row r="10" customFormat="false" ht="12.75" hidden="false" customHeight="false" outlineLevel="0" collapsed="false">
      <c r="K10" s="2" t="s">
        <v>86</v>
      </c>
    </row>
    <row r="11" customFormat="false" ht="12.75" hidden="false" customHeight="false" outlineLevel="0" collapsed="false">
      <c r="K11" s="2" t="s">
        <v>87</v>
      </c>
    </row>
    <row r="12" customFormat="false" ht="12.75" hidden="false" customHeight="false" outlineLevel="0" collapsed="false">
      <c r="K12" s="2" t="s">
        <v>88</v>
      </c>
    </row>
    <row r="13" customFormat="false" ht="12.75" hidden="false" customHeight="false" outlineLevel="0" collapsed="false">
      <c r="K13" s="2" t="s">
        <v>89</v>
      </c>
    </row>
    <row r="15" customFormat="false" ht="12.75" hidden="false" customHeight="false" outlineLevel="0" collapsed="false">
      <c r="K15" s="2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 &amp;A</oddHeader>
    <oddFooter>&amp;C&amp;"Times New Roman"&amp;12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7.01"/>
  </cols>
  <sheetData>
    <row r="1" customFormat="false" ht="12.75" hidden="false" customHeight="true" outlineLevel="0" collapsed="false">
      <c r="C1" s="1" t="s">
        <v>68</v>
      </c>
      <c r="F1" s="1" t="s">
        <v>69</v>
      </c>
      <c r="I1" s="1"/>
    </row>
    <row r="2" customFormat="false" ht="12.75" hidden="false" customHeight="true" outlineLevel="0" collapsed="false">
      <c r="A2" s="1" t="s">
        <v>70</v>
      </c>
      <c r="B2" s="1" t="s">
        <v>71</v>
      </c>
      <c r="C2" s="1" t="s">
        <v>72</v>
      </c>
      <c r="D2" s="1" t="s">
        <v>73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K2" s="2" t="s">
        <v>27</v>
      </c>
    </row>
    <row r="3" customFormat="false" ht="12.75" hidden="false" customHeight="true" outlineLevel="0" collapsed="false">
      <c r="A3" s="1" t="s">
        <v>76</v>
      </c>
      <c r="B3" s="1" t="n">
        <v>3</v>
      </c>
      <c r="C3" s="1" t="n">
        <v>4</v>
      </c>
      <c r="D3" s="1" t="n">
        <v>6</v>
      </c>
      <c r="E3" s="1" t="n">
        <v>2</v>
      </c>
      <c r="F3" s="4" t="n">
        <v>0</v>
      </c>
      <c r="G3" s="4" t="n">
        <v>0</v>
      </c>
      <c r="H3" s="1" t="n">
        <f aca="false">(B3*E3)+(C3*F3)+(D3*G3)</f>
        <v>6</v>
      </c>
      <c r="I3" s="1" t="n">
        <f aca="false">H3+H4+H5+H6+H7</f>
        <v>13</v>
      </c>
      <c r="K3" s="2" t="s">
        <v>77</v>
      </c>
    </row>
    <row r="4" customFormat="false" ht="12.75" hidden="false" customHeight="true" outlineLevel="0" collapsed="false">
      <c r="A4" s="1" t="s">
        <v>78</v>
      </c>
      <c r="B4" s="1" t="n">
        <v>4</v>
      </c>
      <c r="C4" s="1" t="n">
        <v>5</v>
      </c>
      <c r="D4" s="1" t="n">
        <v>7</v>
      </c>
      <c r="E4" s="1" t="n">
        <v>1</v>
      </c>
      <c r="F4" s="4" t="n">
        <v>0</v>
      </c>
      <c r="G4" s="4" t="n">
        <v>0</v>
      </c>
      <c r="H4" s="1" t="n">
        <f aca="false">(B4*E4)+(C4*F4)+(D4*G4)</f>
        <v>4</v>
      </c>
      <c r="I4" s="1"/>
      <c r="K4" s="2" t="s">
        <v>79</v>
      </c>
    </row>
    <row r="5" customFormat="false" ht="12.75" hidden="false" customHeight="true" outlineLevel="0" collapsed="false">
      <c r="A5" s="1" t="s">
        <v>80</v>
      </c>
      <c r="B5" s="1" t="n">
        <v>3</v>
      </c>
      <c r="C5" s="1" t="n">
        <v>4</v>
      </c>
      <c r="D5" s="1" t="n">
        <v>6</v>
      </c>
      <c r="E5" s="1" t="n">
        <v>1</v>
      </c>
      <c r="F5" s="4" t="n">
        <v>0</v>
      </c>
      <c r="G5" s="4" t="n">
        <v>0</v>
      </c>
      <c r="H5" s="1" t="n">
        <f aca="false">(B5*E5)+(C5*F5)+(D5*G5)</f>
        <v>3</v>
      </c>
      <c r="I5" s="1"/>
    </row>
    <row r="6" customFormat="false" ht="12.75" hidden="false" customHeight="true" outlineLevel="0" collapsed="false">
      <c r="A6" s="1" t="s">
        <v>81</v>
      </c>
      <c r="B6" s="1" t="n">
        <v>7</v>
      </c>
      <c r="C6" s="1" t="n">
        <v>10</v>
      </c>
      <c r="D6" s="1" t="n">
        <v>15</v>
      </c>
      <c r="E6" s="4" t="n">
        <v>0</v>
      </c>
      <c r="F6" s="4" t="n">
        <v>0</v>
      </c>
      <c r="G6" s="4" t="n">
        <v>0</v>
      </c>
      <c r="H6" s="1" t="n">
        <f aca="false">(B6*E6)+(C6*F6)+(D6*G6)</f>
        <v>0</v>
      </c>
      <c r="I6" s="1"/>
      <c r="K6" s="2" t="s">
        <v>82</v>
      </c>
    </row>
    <row r="7" customFormat="false" ht="12.75" hidden="false" customHeight="true" outlineLevel="0" collapsed="false">
      <c r="A7" s="1" t="s">
        <v>83</v>
      </c>
      <c r="B7" s="1" t="n">
        <v>5</v>
      </c>
      <c r="C7" s="1" t="n">
        <v>7</v>
      </c>
      <c r="D7" s="1" t="n">
        <v>10</v>
      </c>
      <c r="E7" s="4" t="n">
        <v>0</v>
      </c>
      <c r="F7" s="4" t="n">
        <v>0</v>
      </c>
      <c r="G7" s="4" t="n">
        <v>0</v>
      </c>
      <c r="H7" s="1" t="n">
        <f aca="false">(B7*E7)+(C7*F7)+(D7*G7)</f>
        <v>0</v>
      </c>
      <c r="I7" s="1"/>
    </row>
    <row r="8" customFormat="false" ht="12.75" hidden="false" customHeight="true" outlineLevel="0" collapsed="false">
      <c r="E8" s="4"/>
      <c r="K8" s="2" t="s">
        <v>84</v>
      </c>
    </row>
    <row r="9" customFormat="false" ht="12.75" hidden="false" customHeight="false" outlineLevel="0" collapsed="false">
      <c r="K9" s="2" t="s">
        <v>85</v>
      </c>
    </row>
    <row r="10" customFormat="false" ht="12.75" hidden="false" customHeight="false" outlineLevel="0" collapsed="false">
      <c r="K10" s="2" t="s">
        <v>86</v>
      </c>
    </row>
    <row r="11" customFormat="false" ht="12.75" hidden="false" customHeight="false" outlineLevel="0" collapsed="false">
      <c r="K11" s="2" t="s">
        <v>87</v>
      </c>
    </row>
    <row r="12" customFormat="false" ht="12.75" hidden="false" customHeight="false" outlineLevel="0" collapsed="false">
      <c r="K12" s="2" t="s">
        <v>88</v>
      </c>
    </row>
    <row r="13" customFormat="false" ht="12.75" hidden="false" customHeight="false" outlineLevel="0" collapsed="false">
      <c r="K13" s="2" t="s">
        <v>89</v>
      </c>
    </row>
    <row r="15" customFormat="false" ht="12.75" hidden="false" customHeight="false" outlineLevel="0" collapsed="false">
      <c r="K15" s="2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 &amp;A</oddHeader>
    <oddFooter>&amp;C&amp;"Times New Roman"&amp;12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B1" s="2" t="s">
        <v>91</v>
      </c>
    </row>
    <row r="2" customFormat="false" ht="15" hidden="false" customHeight="false" outlineLevel="0" collapsed="false">
      <c r="A2" s="2" t="s">
        <v>8</v>
      </c>
      <c r="B2" s="2" t="s">
        <v>92</v>
      </c>
      <c r="C2" s="2" t="s">
        <v>12</v>
      </c>
      <c r="D2" s="2" t="s">
        <v>2</v>
      </c>
      <c r="E2" s="2" t="s">
        <v>93</v>
      </c>
      <c r="G2" s="2" t="s">
        <v>94</v>
      </c>
    </row>
    <row r="3" customFormat="false" ht="15" hidden="false" customHeight="false" outlineLevel="0" collapsed="false">
      <c r="A3" s="2" t="s">
        <v>14</v>
      </c>
      <c r="B3" s="5" t="n">
        <f aca="false">Halstead!H3</f>
        <v>390.083919941077</v>
      </c>
      <c r="C3" s="2" t="n">
        <f aca="false">CC!E3</f>
        <v>4</v>
      </c>
      <c r="D3" s="2" t="n">
        <f aca="false">LOC!B5</f>
        <v>12</v>
      </c>
      <c r="E3" s="2" t="n">
        <f aca="false">171-5.2*LN(B3)-0.23*C3-16.2*LN(D3)</f>
        <v>98.7994304178118</v>
      </c>
      <c r="G3" s="2" t="s">
        <v>95</v>
      </c>
    </row>
    <row r="4" customFormat="false" ht="15" hidden="false" customHeight="false" outlineLevel="0" collapsed="false">
      <c r="G4" s="2" t="s">
        <v>96</v>
      </c>
    </row>
    <row r="5" customFormat="false" ht="15" hidden="false" customHeight="false" outlineLevel="0" collapsed="false">
      <c r="G5" s="2" t="s">
        <v>97</v>
      </c>
    </row>
    <row r="6" customFormat="false" ht="15" hidden="false" customHeight="false" outlineLevel="0" collapsed="false">
      <c r="G6" s="2" t="s">
        <v>98</v>
      </c>
    </row>
    <row r="8" customFormat="false" ht="15" hidden="false" customHeight="false" outlineLevel="0" collapsed="false">
      <c r="G8" s="2" t="s">
        <v>99</v>
      </c>
    </row>
    <row r="10" customFormat="false" ht="15" hidden="false" customHeight="false" outlineLevel="0" collapsed="false">
      <c r="G10" s="2" t="s">
        <v>100</v>
      </c>
    </row>
    <row r="11" customFormat="false" ht="15" hidden="false" customHeight="false" outlineLevel="0" collapsed="false">
      <c r="G11" s="2" t="s">
        <v>101</v>
      </c>
    </row>
    <row r="12" customFormat="false" ht="15" hidden="false" customHeight="false" outlineLevel="0" collapsed="false">
      <c r="G1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2026-09-28T14:22:42Z</dcterms:created>
  <dc:creator>openpyxl</dc:creator>
  <dc:description/>
  <dc:language>fr-FR</dc:language>
  <cp:lastModifiedBy/>
  <dcterms:modified xsi:type="dcterms:W3CDTF">2026-10-08T14:20:14Z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