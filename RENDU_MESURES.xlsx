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C" sheetId="1" state="visible" r:id="rId1"/>
    <sheet xmlns:r="http://schemas.openxmlformats.org/officeDocument/2006/relationships" name="CC" sheetId="2" state="visible" r:id="rId2"/>
    <sheet xmlns:r="http://schemas.openxmlformats.org/officeDocument/2006/relationships" name="Halstead" sheetId="3" state="visible" r:id="rId3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pivotButton="0" quotePrefix="0" xfId="0"/>
    <xf numFmtId="0" fontId="5" fillId="0" borderId="0" pivotButton="0" quotePrefix="0" xfId="0"/>
    <xf numFmtId="2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14" activeCellId="0" sqref="F14"/>
    </sheetView>
  </sheetViews>
  <sheetFormatPr baseColWidth="8" defaultColWidth="11.53515625" defaultRowHeight="12.8" zeroHeight="0" outlineLevelRow="0"/>
  <sheetData>
    <row r="1" ht="12.8" customHeight="1" s="3">
      <c r="A1" s="4" t="n"/>
      <c r="B1" s="4" t="inlineStr">
        <is>
          <t>Lignes de code</t>
        </is>
      </c>
    </row>
    <row r="2" ht="12.8" customHeight="1" s="3">
      <c r="A2" s="4" t="inlineStr">
        <is>
          <t>Projet</t>
        </is>
      </c>
      <c r="B2" s="4" t="inlineStr">
        <is>
          <t>LOC</t>
        </is>
      </c>
    </row>
    <row r="3" ht="12.8" customHeight="1" s="3">
      <c r="A3" s="4" t="inlineStr">
        <is>
          <t>Projet Opti_tour</t>
        </is>
      </c>
      <c r="B3" s="4" t="n">
        <v>4140</v>
      </c>
    </row>
    <row r="4" ht="12.8" customHeight="1" s="3">
      <c r="A4" s="4" t="inlineStr">
        <is>
          <t>Projet REST</t>
        </is>
      </c>
      <c r="B4" s="4" t="n">
        <v>59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3" min="1" max="1"/>
  </cols>
  <sheetData>
    <row r="1">
      <c r="B1" s="4" t="inlineStr">
        <is>
          <t>Complexité cyclomatique</t>
        </is>
      </c>
    </row>
    <row r="2">
      <c r="A2" s="4" t="inlineStr">
        <is>
          <t>Fonction</t>
        </is>
      </c>
      <c r="B2" s="4" t="inlineStr">
        <is>
          <t>N</t>
        </is>
      </c>
      <c r="C2" s="4" t="inlineStr">
        <is>
          <t>E</t>
        </is>
      </c>
      <c r="D2" s="4" t="inlineStr">
        <is>
          <t>P</t>
        </is>
      </c>
      <c r="E2" s="4" t="inlineStr">
        <is>
          <t>CC</t>
        </is>
      </c>
      <c r="G2" s="4" t="inlineStr">
        <is>
          <t>Formule : CC = E - N + 2P</t>
        </is>
      </c>
    </row>
    <row r="3">
      <c r="A3" s="4" t="inlineStr">
        <is>
          <t>iqsort0</t>
        </is>
      </c>
      <c r="B3" s="4" t="n">
        <v>12</v>
      </c>
      <c r="C3" s="4" t="n">
        <v>14</v>
      </c>
      <c r="D3" s="4" t="n">
        <v>1</v>
      </c>
      <c r="E3" s="4">
        <f>C3-B3+2*D3</f>
        <v/>
      </c>
      <c r="G3" s="4" t="inlineStr">
        <is>
          <t>N = nombre de nœuds du CFG (instructions)</t>
        </is>
      </c>
    </row>
    <row r="4">
      <c r="G4" s="4" t="inlineStr">
        <is>
          <t>E = nombre d'arcs du CFG (passages possibles entre instructions)</t>
        </is>
      </c>
    </row>
    <row r="5">
      <c r="G5" s="4" t="inlineStr">
        <is>
          <t>P = nombre de fonctions distinctes dans le graphe</t>
        </is>
      </c>
    </row>
    <row r="6">
      <c r="G6" s="4" t="inlineStr">
        <is>
          <t>CC = nombre de chemins linéairement indépendants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11" customWidth="1" style="3" min="1" max="1"/>
    <col width="11" customWidth="1" style="3" min="4" max="4"/>
  </cols>
  <sheetData>
    <row r="1">
      <c r="B1" t="inlineStr">
        <is>
          <t>Mesures de Halstead</t>
        </is>
      </c>
    </row>
    <row r="2">
      <c r="A2" t="inlineStr">
        <is>
          <t>Fonction</t>
        </is>
      </c>
      <c r="B2" t="inlineStr">
        <is>
          <t>nt</t>
        </is>
      </c>
      <c r="C2" t="inlineStr">
        <is>
          <t>nd</t>
        </is>
      </c>
      <c r="D2" t="inlineStr">
        <is>
          <t>Nt</t>
        </is>
      </c>
      <c r="E2" t="inlineStr">
        <is>
          <t>Nd</t>
        </is>
      </c>
      <c r="F2" t="inlineStr">
        <is>
          <t>N</t>
        </is>
      </c>
      <c r="G2" t="inlineStr">
        <is>
          <t>n</t>
        </is>
      </c>
      <c r="H2" t="inlineStr">
        <is>
          <t>V</t>
        </is>
      </c>
      <c r="I2" t="inlineStr">
        <is>
          <t>D</t>
        </is>
      </c>
      <c r="J2" t="inlineStr">
        <is>
          <t>E</t>
        </is>
      </c>
      <c r="L2" t="inlineStr">
        <is>
          <t>Formules :</t>
        </is>
      </c>
    </row>
    <row r="3">
      <c r="A3" t="inlineStr">
        <is>
          <t>iqsort0</t>
        </is>
      </c>
      <c r="B3">
        <f>COUNTA(A7:A23)</f>
        <v/>
      </c>
      <c r="C3">
        <f>COUNTA(D7:D14)</f>
        <v/>
      </c>
      <c r="D3">
        <f>SUM(B7:B23)</f>
        <v/>
      </c>
      <c r="E3">
        <f>SUM(E7:E14)</f>
        <v/>
      </c>
      <c r="F3">
        <f>D3+E3</f>
        <v/>
      </c>
      <c r="G3">
        <f>B3+C3</f>
        <v/>
      </c>
      <c r="H3" s="7">
        <f>F3*LOG(G3,2)</f>
        <v/>
      </c>
      <c r="I3" s="7">
        <f>(B3/2)*(E3/C3)</f>
        <v/>
      </c>
      <c r="J3" s="7">
        <f>I3*H3</f>
        <v/>
      </c>
      <c r="L3" t="inlineStr">
        <is>
          <t>N = Nt + Nd (longueur)</t>
        </is>
      </c>
    </row>
    <row r="4">
      <c r="L4" t="inlineStr">
        <is>
          <t>n = nt + nd (vocabulaire)</t>
        </is>
      </c>
    </row>
    <row r="5">
      <c r="L5" t="inlineStr">
        <is>
          <t>V = N * log2(n) (volume)</t>
        </is>
      </c>
    </row>
    <row r="6">
      <c r="A6" t="inlineStr">
        <is>
          <t>Opérateur</t>
        </is>
      </c>
      <c r="B6" t="inlineStr">
        <is>
          <t>Nb</t>
        </is>
      </c>
      <c r="D6" t="inlineStr">
        <is>
          <t>Opérande</t>
        </is>
      </c>
      <c r="E6" t="inlineStr">
        <is>
          <t>Nb</t>
        </is>
      </c>
      <c r="L6" t="inlineStr">
        <is>
          <t>D = (nt / 2) * (Nd / nd) (difficulté)</t>
        </is>
      </c>
    </row>
    <row r="7">
      <c r="A7" t="inlineStr">
        <is>
          <t>()</t>
        </is>
      </c>
      <c r="B7" t="n">
        <v>8</v>
      </c>
      <c r="D7" t="inlineStr">
        <is>
          <t>a</t>
        </is>
      </c>
      <c r="E7" t="n">
        <v>7</v>
      </c>
      <c r="L7" t="inlineStr">
        <is>
          <t>E = D * V (effort)</t>
        </is>
      </c>
    </row>
    <row r="8">
      <c r="A8" t="inlineStr">
        <is>
          <t>,</t>
        </is>
      </c>
      <c r="B8" t="n">
        <v>9</v>
      </c>
      <c r="D8" t="inlineStr">
        <is>
          <t>j</t>
        </is>
      </c>
      <c r="E8" t="n">
        <v>7</v>
      </c>
    </row>
    <row r="9">
      <c r="A9" t="inlineStr">
        <is>
          <t>;</t>
        </is>
      </c>
      <c r="B9" t="n">
        <v>8</v>
      </c>
      <c r="D9" t="inlineStr">
        <is>
          <t>i</t>
        </is>
      </c>
      <c r="E9" t="n">
        <v>6</v>
      </c>
      <c r="L9" t="inlineStr">
        <is>
          <t>nt = nb d'opérateurs distincts</t>
        </is>
      </c>
    </row>
    <row r="10">
      <c r="A10" t="inlineStr">
        <is>
          <t>int</t>
        </is>
      </c>
      <c r="B10" t="n">
        <v>3</v>
      </c>
      <c r="D10" t="inlineStr">
        <is>
          <t>n</t>
        </is>
      </c>
      <c r="E10" t="n">
        <v>4</v>
      </c>
      <c r="L10" t="inlineStr">
        <is>
          <t>Nt = nb total d'occurrences d'opérateurs</t>
        </is>
      </c>
    </row>
    <row r="11">
      <c r="A11" t="inlineStr">
        <is>
          <t>if</t>
        </is>
      </c>
      <c r="B11" t="n">
        <v>2</v>
      </c>
      <c r="D11" t="inlineStr">
        <is>
          <t>1</t>
        </is>
      </c>
      <c r="E11" t="n">
        <v>4</v>
      </c>
      <c r="L11" t="inlineStr">
        <is>
          <t>nd = nb d'opérandes distincts</t>
        </is>
      </c>
    </row>
    <row r="12">
      <c r="A12" t="inlineStr">
        <is>
          <t>=</t>
        </is>
      </c>
      <c r="B12" t="n">
        <v>2</v>
      </c>
      <c r="D12" t="inlineStr">
        <is>
          <t>iqsort0</t>
        </is>
      </c>
      <c r="E12" t="n">
        <v>3</v>
      </c>
      <c r="L12" t="inlineStr">
        <is>
          <t>Nd = nb total d'occurrences d'opérandes</t>
        </is>
      </c>
    </row>
    <row r="13">
      <c r="A13" t="inlineStr">
        <is>
          <t>&lt;</t>
        </is>
      </c>
      <c r="B13" t="n">
        <v>2</v>
      </c>
      <c r="D13" t="inlineStr">
        <is>
          <t>0</t>
        </is>
      </c>
      <c r="E13" t="n">
        <v>3</v>
      </c>
    </row>
    <row r="14">
      <c r="A14" t="inlineStr">
        <is>
          <t>++</t>
        </is>
      </c>
      <c r="B14" t="n">
        <v>2</v>
      </c>
      <c r="D14" t="inlineStr">
        <is>
          <t>swap</t>
        </is>
      </c>
      <c r="E14" t="n">
        <v>2</v>
      </c>
      <c r="L14" t="inlineStr">
        <is>
          <t>Conventions choisies :</t>
        </is>
      </c>
    </row>
    <row r="15">
      <c r="A15" t="inlineStr">
        <is>
          <t>[]</t>
        </is>
      </c>
      <c r="B15" t="n">
        <v>2</v>
      </c>
      <c r="L15" t="inlineStr">
        <is>
          <t>- une paire () [] {} compte comme 1 opérateur</t>
        </is>
      </c>
    </row>
    <row r="16">
      <c r="A16" t="inlineStr">
        <is>
          <t>+</t>
        </is>
      </c>
      <c r="B16" t="n">
        <v>2</v>
      </c>
      <c r="L16" t="inlineStr">
        <is>
          <t>- noms de fonctions (swap, iqsort0) = opérandes</t>
        </is>
      </c>
    </row>
    <row r="17">
      <c r="A17" t="inlineStr">
        <is>
          <t>-</t>
        </is>
      </c>
      <c r="B17" t="n">
        <v>2</v>
      </c>
      <c r="L17" t="inlineStr">
        <is>
          <t>- constantes (0, 1) = opérandes</t>
        </is>
      </c>
    </row>
    <row r="18">
      <c r="A18" t="inlineStr">
        <is>
          <t>void</t>
        </is>
      </c>
      <c r="B18" t="n">
        <v>1</v>
      </c>
      <c r="L18" t="inlineStr">
        <is>
          <t>- , et ; comptés comme opérateurs</t>
        </is>
      </c>
    </row>
    <row r="19">
      <c r="A19" t="inlineStr">
        <is>
          <t>*</t>
        </is>
      </c>
      <c r="B19" t="n">
        <v>1</v>
      </c>
    </row>
    <row r="20">
      <c r="A20" t="inlineStr">
        <is>
          <t>{}</t>
        </is>
      </c>
      <c r="B20" t="n">
        <v>1</v>
      </c>
    </row>
    <row r="21">
      <c r="A21" t="inlineStr">
        <is>
          <t>return</t>
        </is>
      </c>
      <c r="B21" t="n">
        <v>1</v>
      </c>
    </row>
    <row r="22">
      <c r="A22" t="inlineStr">
        <is>
          <t>for</t>
        </is>
      </c>
      <c r="B22" t="n">
        <v>1</v>
      </c>
    </row>
    <row r="23">
      <c r="A23" t="inlineStr">
        <is>
          <t>&lt;=</t>
        </is>
      </c>
      <c r="B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2026-09-28T14:22:42Z</dcterms:created>
  <dcterms:modified xmlns:dcterms="http://purl.org/dc/terms/" xmlns:xsi="http://www.w3.org/2001/XMLSchema-instance" xsi:type="dcterms:W3CDTF">2026-09-28T14:28:38Z</dcterms:modified>
  <cp:revision>3</cp:revision>
</cp:coreProperties>
</file>